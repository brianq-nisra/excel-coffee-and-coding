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troduction" sheetId="1" state="visible" r:id="rId1"/>
    <sheet name="Contents" sheetId="2" state="visible" r:id="rId2"/>
    <sheet name="table_1" sheetId="3" state="visible" r:id="rId3"/>
    <sheet name="table_2" sheetId="4" state="visible" r:id="rId4"/>
  </sheets>
</workbook>
</file>

<file path=xl/sharedStrings.xml><?xml version="1.0" encoding="utf-8"?>
<sst xmlns="http://schemas.openxmlformats.org/spreadsheetml/2006/main" count="60" uniqueCount="60">
  <si>
    <t xml:space="preserve">Mid-year population statistics for Northern Ireland 2025</t>
  </si>
  <si>
    <t xml:space="preserve">The following tables contain population and demography statistics for Northern Ireland. A list of tables is provided in the contents sheet.</t>
  </si>
  <si>
    <t xml:space="preserve">Linked report (and infographics):</t>
  </si>
  <si>
    <t xml:space="preserve">PUBLICATION LINK</t>
  </si>
  <si>
    <t xml:space="preserve">Published:</t>
  </si>
  <si>
    <t xml:space="preserve">20 October 2026</t>
  </si>
  <si>
    <t xml:space="preserve">Quality Information:</t>
  </si>
  <si>
    <t xml:space="preserve">BQR LINK</t>
  </si>
  <si>
    <t xml:space="preserve">Contact Information:</t>
  </si>
  <si>
    <t xml:space="preserve">Joe Bloggs
NISRA
Colby House
Stranmillis Court
Belfast, BT9 5RR
Telephone: 028 1234 5678
E-mail: info@nisra.gov.uk</t>
  </si>
  <si>
    <t xml:space="preserve">Background Quality Report: Mid-year population statistics for Northern Ireland</t>
  </si>
  <si>
    <t xml:space="preserve">Table of Contents</t>
  </si>
  <si>
    <t xml:space="preserve">Table 1: Population by age</t>
  </si>
  <si>
    <t xml:space="preserve">This worksheet contains one table, outlining Northern Ireland's population in five year age bands</t>
  </si>
  <si>
    <t xml:space="preserve">Notes:</t>
  </si>
  <si>
    <t xml:space="preserve">1. The estimates are produced using a variety of data sources and statistical models. Therefore small estimates should not be taken to refer to particular individuals.</t>
  </si>
  <si>
    <t xml:space="preserve">2. The migration element of the components of change have been largely derived from a data source which is known to be deficient in recording young adult males and outflows from Northern Ireland. Therefore the estimates are subject to adjustment to account for this and, while deemed acceptable for their use, will not provide definitive numbers of the population in the reported groups/areas.</t>
  </si>
  <si>
    <t xml:space="preserve">Age group</t>
  </si>
  <si>
    <t xml:space="preserve">Population</t>
  </si>
  <si>
    <t xml:space="preserve">Age 0-4</t>
  </si>
  <si>
    <t xml:space="preserve">Age 5-9</t>
  </si>
  <si>
    <t xml:space="preserve">Age 10-14</t>
  </si>
  <si>
    <t xml:space="preserve">Age 15-19</t>
  </si>
  <si>
    <t xml:space="preserve">Age 20-24</t>
  </si>
  <si>
    <t xml:space="preserve">Age 25-29</t>
  </si>
  <si>
    <t xml:space="preserve">Age 30-34</t>
  </si>
  <si>
    <t xml:space="preserve">Age 35-39</t>
  </si>
  <si>
    <t xml:space="preserve">Age 40-44</t>
  </si>
  <si>
    <t xml:space="preserve">Age 45-49</t>
  </si>
  <si>
    <t xml:space="preserve">Age 50-54</t>
  </si>
  <si>
    <t xml:space="preserve">Age 55-59</t>
  </si>
  <si>
    <t xml:space="preserve">Age 60-64</t>
  </si>
  <si>
    <t xml:space="preserve">Age 65-69</t>
  </si>
  <si>
    <t xml:space="preserve">Age 70-74</t>
  </si>
  <si>
    <t xml:space="preserve">Age 75-79</t>
  </si>
  <si>
    <t xml:space="preserve">Age 80-84</t>
  </si>
  <si>
    <t xml:space="preserve">Age 85-89</t>
  </si>
  <si>
    <t xml:space="preserve">Age 90+</t>
  </si>
  <si>
    <t xml:space="preserve">All</t>
  </si>
  <si>
    <t xml:space="preserve">Table 2: Populations by local area and sex</t>
  </si>
  <si>
    <t xml:space="preserve">This worksheet contains two tables, presented vertically with one blank row in between, outlining Northern Ireland's population by local area and sex</t>
  </si>
  <si>
    <t xml:space="preserve">Table 2a: Population by local area</t>
  </si>
  <si>
    <t xml:space="preserve">Local Government District</t>
  </si>
  <si>
    <t xml:space="preserve">Antrim and Newtownabbey</t>
  </si>
  <si>
    <t xml:space="preserve">Ards and North Down</t>
  </si>
  <si>
    <t xml:space="preserve">Armagh City, Banbridge and Craigavon</t>
  </si>
  <si>
    <t xml:space="preserve">Belfast</t>
  </si>
  <si>
    <t xml:space="preserve">Causeway Coast and Glens</t>
  </si>
  <si>
    <t xml:space="preserve">Derry City and Strabane</t>
  </si>
  <si>
    <t xml:space="preserve">Fermanagh and Omagh</t>
  </si>
  <si>
    <t xml:space="preserve">Lisburn and Castlereagh</t>
  </si>
  <si>
    <t xml:space="preserve">Mid Ulster</t>
  </si>
  <si>
    <t xml:space="preserve">Mid and East Antrim</t>
  </si>
  <si>
    <t xml:space="preserve">Newry, Mourne and Down</t>
  </si>
  <si>
    <t xml:space="preserve">Northern Ireland</t>
  </si>
  <si>
    <t xml:space="preserve">Table 2b: Population by sex</t>
  </si>
  <si>
    <t xml:space="preserve">Sex</t>
  </si>
  <si>
    <t xml:space="preserve">Females</t>
  </si>
  <si>
    <t xml:space="preserve">Males</t>
  </si>
  <si>
    <t xml:space="preserve">All persons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</si>
</sst>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
  </numFmts>
  <fonts count="5">
    <font>
      <sz val="12"/>
      <color rgb="FF000000"/>
      <name val="Arial"/>
    </font>
    <font>
      <sz val="15"/>
      <color rgb="FF000000"/>
      <name val="Arial"/>
      <b/>
    </font>
    <font>
      <sz val="12"/>
      <color rgb="FF000000"/>
      <name val="Arial"/>
      <b/>
    </font>
    <font>
      <sz val="12"/>
      <color theme="10"/>
      <name val="Arial"/>
      <u val="single"/>
    </font>
    <font>
      <sz val="12"/>
      <color theme="10"/>
      <name val="Arial"/>
      <b/>
      <u val="single"/>
    </font>
  </fonts>
  <fills count="2">
    <fill>
      <patternFill patternType="none"/>
    </fill>
    <fill>
      <patternFill patternType="gray125"/>
    </fill>
  </fills>
  <borders count="2">
    <border>
      <left/>
      <right/>
      <top/>
      <bottom/>
      <diagonal/>
    </border>
    <border>
      <top style="thin">
        <color rgb="FF000000"/>
      </top>
      <bottom style="double">
        <color rgb="FF000000"/>
      </bottom>
    </border>
  </borders>
  <cellStyleXfs count="1">
    <xf numFmtId="0" fontId="0" fillId="0" borderId="0"/>
  </cellStyleXfs>
  <cellXfs count="10">
    <xf numFmtId="0" fontId="0" fillId="0" borderId="0" xfId="0"/>
    <xf numFmtId="0" fontId="1" fillId="0" borderId="0" xfId="0" applyFont="1"/>
    <xf numFmtId="0" fontId="0" fillId="0" borderId="0" xfId="0" applyFont="1" applyAlignment="1">
      <alignment wrapText="1"/>
    </xf>
    <xf numFmtId="0" fontId="2" fillId="0" borderId="0" xfId="0" applyFont="1"/>
    <xf numFmtId="0" fontId="3" fillId="0" borderId="0" xfId="0" applyFont="1" applyAlignment="1">
      <alignment wrapText="1"/>
    </xf>
    <xf numFmtId="0" fontId="2" fillId="0" borderId="1" xfId="0" applyFont="1" applyBorder="1" applyAlignment="1">
      <alignment horizontal="right" vertical="bottom" wrapText="1"/>
    </xf>
    <xf numFmtId="0" fontId="2" fillId="0" borderId="1" xfId="0" applyFont="1" applyBorder="1" applyAlignment="1">
      <alignment horizontal="left" vertical="bottom" wrapText="1"/>
    </xf>
    <xf numFmtId="166" fontId="0" fillId="0" borderId="0" xfId="0" applyFont="1" applyNumberFormat="1" applyAlignment="1">
      <alignment horizontal="right"/>
    </xf>
    <xf numFmtId="0" fontId="4" fillId="0" borderId="0" xfId="0" applyFont="1"/>
    <xf numFmtId="0" fontId="3" fillId="0" borderId="0" xfId="0" applyFont="1" applyAlignment="1">
      <alignment inden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ables/table3.xml><?xml version="1.0" encoding="utf-8"?>
<table xmlns="http://schemas.openxmlformats.org/spreadsheetml/2006/main" id="3" name="table_1" displayName="table_1" ref="A6:B26" totalsRowCount="0" totalsRowShown="0">
  <tableColumns count="2">
    <tableColumn id="1" name="Age group"/>
    <tableColumn id="2" name="Population"/>
  </tableColumns>
  <tableStyleInfo name="none" showFirstColumn="0" showLastColumn="0" showRowStripes="1" showColumnStripes="0"/>
</table>
</file>

<file path=xl/tables/table4.xml><?xml version="1.0" encoding="utf-8"?>
<table xmlns="http://schemas.openxmlformats.org/spreadsheetml/2006/main" id="4" name="table_2a" displayName="table_2a" ref="A4:B16" totalsRowCount="0" totalsRowShown="0">
  <tableColumns count="2">
    <tableColumn id="1" name="Local Government District"/>
    <tableColumn id="2" name="Population"/>
  </tableColumns>
  <tableStyleInfo name="none" showFirstColumn="0" showLastColumn="0" showRowStripes="1" showColumnStripes="0"/>
</table>
</file>

<file path=xl/tables/table5.xml><?xml version="1.0" encoding="utf-8"?>
<table xmlns="http://schemas.openxmlformats.org/spreadsheetml/2006/main" id="5" name="table_2b" displayName="table_2b" ref="A19:B22" totalsRowCount="0" totalsRowShown="0">
  <tableColumns count="2">
    <tableColumn id="1" name="Sex"/>
    <tableColumn id="2" name="Population"/>
  </tableColumns>
  <tableStyleInfo name="no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isra.gov.uk/statistics/population/mid-year-population-estimates" TargetMode="External"/><Relationship Id="rId2h" Type="http://schemas.openxmlformats.org/officeDocument/2006/relationships/hyperlink" Target="https://datavis.nisra.gov.uk/population/2025-background-quality-report.html"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3"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4" Type="http://schemas.openxmlformats.org/officeDocument/2006/relationships/table" Target="../tables/table4.x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12.71" hidden="0" customWidth="1"/>
  </cols>
  <sheetData>
    <row r="1" ht="30" customHeight="1">
      <c r="A1" s="1" t="s">
        <v>0</v>
      </c>
    </row>
    <row r="2" ht="60" customHeight="1">
      <c r="A2" s="2" t="s">
        <v>1</v>
      </c>
    </row>
    <row r="3" ht="30" customHeight="1">
      <c r="A3" s="3" t="s">
        <v>2</v>
      </c>
    </row>
    <row r="4">
      <c r="A4" s="4" t="s">
        <v>0</v>
      </c>
    </row>
    <row r="5" ht="30" customHeight="1">
      <c r="A5" s="3" t="s">
        <v>4</v>
      </c>
    </row>
    <row r="6">
      <c r="A6" s="2" t="s">
        <v>5</v>
      </c>
    </row>
    <row r="7" ht="30" customHeight="1">
      <c r="A7" s="3" t="s">
        <v>6</v>
      </c>
    </row>
    <row r="8">
      <c r="A8" s="4" t="s">
        <v>10</v>
      </c>
    </row>
    <row r="9" ht="30" customHeight="1">
      <c r="A9" s="3" t="s">
        <v>8</v>
      </c>
    </row>
    <row r="10">
      <c r="A10" s="2" t="s">
        <v>9</v>
      </c>
    </row>
  </sheetData>
  <hyperlinks>
    <hyperlink ref="A4" r:id="rId1h"/>
    <hyperlink ref="A8" r:id="rId2h"/>
  </hyperlink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14.71" hidden="0" customWidth="1"/>
  </cols>
  <sheetData>
    <row r="1">
      <c r="A1" s="1" t="s">
        <v>0</v>
      </c>
    </row>
    <row r="2" ht="30" customHeight="1">
      <c r="A2" s="3" t="s">
        <v>11</v>
      </c>
    </row>
    <row r="3" ht="30" customHeight="1">
      <c r="A3" s="8" t="str">
        <f>=HYPERLINK("#'table_1'!A6", "Table 1: Population by age")</f>
      </c>
    </row>
    <row r="4" ht="30" customHeight="1">
      <c r="A4" s="3" t="s">
        <v>39</v>
      </c>
    </row>
    <row r="5" ht="30" customHeight="1">
      <c r="A5" s="9" t="str">
        <f>=HYPERLINK("#'table_2'!A4", "Table 2a: Population by local area")</f>
      </c>
    </row>
    <row r="6" ht="30" customHeight="1">
      <c r="A6" s="9" t="str">
        <f>=HYPERLINK("#'table_2'!A19", "Table 2b: Population by sex")</f>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7.71" hidden="0" customWidth="1"/>
    <col min="2" max="2" width="12.71" hidden="0" customWidth="1"/>
  </cols>
  <sheetData>
    <row r="1" ht="30" customHeight="1">
      <c r="A1" s="1" t="s">
        <v>12</v>
      </c>
    </row>
    <row r="2">
      <c r="A2" t="s">
        <v>13</v>
      </c>
    </row>
    <row r="3">
      <c r="A3" t="s">
        <v>14</v>
      </c>
    </row>
    <row r="4">
      <c r="A4" t="s">
        <v>15</v>
      </c>
    </row>
    <row r="5">
      <c r="A5" t="s">
        <v>16</v>
      </c>
    </row>
    <row r="6">
      <c r="A6" s="6" t="s">
        <v>17</v>
      </c>
      <c r="B6" s="5" t="s">
        <v>18</v>
      </c>
    </row>
    <row r="7">
      <c r="A7" s="3" t="s">
        <v>19</v>
      </c>
      <c r="B7" s="7" t="n">
        <v>103836</v>
      </c>
    </row>
    <row r="8">
      <c r="A8" s="3" t="s">
        <v>20</v>
      </c>
      <c r="B8" s="7" t="n">
        <v>120103</v>
      </c>
    </row>
    <row r="9">
      <c r="A9" s="3" t="s">
        <v>21</v>
      </c>
      <c r="B9" s="7" t="n">
        <v>128907</v>
      </c>
    </row>
    <row r="10">
      <c r="A10" s="3" t="s">
        <v>22</v>
      </c>
      <c r="B10" s="7" t="n">
        <v>125177</v>
      </c>
    </row>
    <row r="11">
      <c r="A11" s="3" t="s">
        <v>23</v>
      </c>
      <c r="B11" s="7" t="n">
        <v>104915</v>
      </c>
    </row>
    <row r="12">
      <c r="A12" s="3" t="s">
        <v>24</v>
      </c>
      <c r="B12" s="7" t="n">
        <v>113660</v>
      </c>
    </row>
    <row r="13">
      <c r="A13" s="3" t="s">
        <v>25</v>
      </c>
      <c r="B13" s="7" t="n">
        <v>121621</v>
      </c>
    </row>
    <row r="14">
      <c r="A14" s="3" t="s">
        <v>26</v>
      </c>
      <c r="B14" s="7" t="n">
        <v>130378</v>
      </c>
    </row>
    <row r="15">
      <c r="A15" s="3" t="s">
        <v>27</v>
      </c>
      <c r="B15" s="7" t="n">
        <v>128079</v>
      </c>
    </row>
    <row r="16">
      <c r="A16" s="3" t="s">
        <v>28</v>
      </c>
      <c r="B16" s="7" t="n">
        <v>120781</v>
      </c>
    </row>
    <row r="17">
      <c r="A17" s="3" t="s">
        <v>29</v>
      </c>
      <c r="B17" s="7" t="n">
        <v>122123</v>
      </c>
    </row>
    <row r="18">
      <c r="A18" s="3" t="s">
        <v>30</v>
      </c>
      <c r="B18" s="7" t="n">
        <v>128740</v>
      </c>
    </row>
    <row r="19">
      <c r="A19" s="3" t="s">
        <v>31</v>
      </c>
      <c r="B19" s="7" t="n">
        <v>123641</v>
      </c>
    </row>
    <row r="20">
      <c r="A20" s="3" t="s">
        <v>32</v>
      </c>
      <c r="B20" s="7" t="n">
        <v>104591</v>
      </c>
    </row>
    <row r="21">
      <c r="A21" s="3" t="s">
        <v>33</v>
      </c>
      <c r="B21" s="7" t="n">
        <v>84477</v>
      </c>
    </row>
    <row r="22">
      <c r="A22" s="3" t="s">
        <v>34</v>
      </c>
      <c r="B22" s="7" t="n">
        <v>72152</v>
      </c>
    </row>
    <row r="23">
      <c r="A23" s="3" t="s">
        <v>35</v>
      </c>
      <c r="B23" s="7" t="n">
        <v>51427</v>
      </c>
    </row>
    <row r="24">
      <c r="A24" s="3" t="s">
        <v>36</v>
      </c>
      <c r="B24" s="7" t="n">
        <v>28526</v>
      </c>
    </row>
    <row r="25">
      <c r="A25" s="3" t="s">
        <v>37</v>
      </c>
      <c r="B25" s="7" t="n">
        <v>15312</v>
      </c>
    </row>
    <row r="26">
      <c r="A26" s="3" t="s">
        <v>38</v>
      </c>
      <c r="B26" s="7" t="n">
        <v>1928446</v>
      </c>
    </row>
  </sheetData>
  <pageMargins left="0.7" right="0.7" top="0.75" bottom="0.75" header="0.3" footer="0.3"/>
  <pageSetup paperSize="9" orientation="portrait"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7.71" hidden="0" customWidth="1"/>
    <col min="2" max="2" width="12.71" hidden="0" customWidth="1"/>
  </cols>
  <sheetData>
    <row r="1" ht="30" customHeight="1">
      <c r="A1" s="1" t="s">
        <v>39</v>
      </c>
    </row>
    <row r="2">
      <c r="A2" t="s">
        <v>40</v>
      </c>
    </row>
    <row r="3" ht="30" customHeight="1">
      <c r="A3" s="3" t="s">
        <v>41</v>
      </c>
    </row>
    <row r="4">
      <c r="A4" s="6" t="s">
        <v>42</v>
      </c>
      <c r="B4" s="5" t="s">
        <v>18</v>
      </c>
    </row>
    <row r="5">
      <c r="A5" s="3" t="s">
        <v>43</v>
      </c>
      <c r="B5" s="7" t="n">
        <v>148487</v>
      </c>
    </row>
    <row r="6">
      <c r="A6" s="3" t="s">
        <v>44</v>
      </c>
      <c r="B6" s="7" t="n">
        <v>165407</v>
      </c>
    </row>
    <row r="7">
      <c r="A7" s="3" t="s">
        <v>45</v>
      </c>
      <c r="B7" s="7" t="n">
        <v>223044</v>
      </c>
    </row>
    <row r="8">
      <c r="A8" s="3" t="s">
        <v>46</v>
      </c>
      <c r="B8" s="7" t="n">
        <v>351927</v>
      </c>
    </row>
    <row r="9">
      <c r="A9" s="3" t="s">
        <v>47</v>
      </c>
      <c r="B9" s="7" t="n">
        <v>141752</v>
      </c>
    </row>
    <row r="10">
      <c r="A10" s="3" t="s">
        <v>48</v>
      </c>
      <c r="B10" s="7" t="n">
        <v>152659</v>
      </c>
    </row>
    <row r="11">
      <c r="A11" s="3" t="s">
        <v>49</v>
      </c>
      <c r="B11" s="7" t="n">
        <v>117663</v>
      </c>
    </row>
    <row r="12">
      <c r="A12" s="3" t="s">
        <v>50</v>
      </c>
      <c r="B12" s="7" t="n">
        <v>152367</v>
      </c>
    </row>
    <row r="13">
      <c r="A13" s="3" t="s">
        <v>51</v>
      </c>
      <c r="B13" s="7" t="n">
        <v>152292</v>
      </c>
    </row>
    <row r="14">
      <c r="A14" s="3" t="s">
        <v>52</v>
      </c>
      <c r="B14" s="7" t="n">
        <v>139964</v>
      </c>
    </row>
    <row r="15">
      <c r="A15" s="3" t="s">
        <v>53</v>
      </c>
      <c r="B15" s="7" t="n">
        <v>182884</v>
      </c>
    </row>
    <row r="16">
      <c r="A16" s="3" t="s">
        <v>54</v>
      </c>
      <c r="B16" s="7" t="n">
        <v>1928446</v>
      </c>
    </row>
    <row r="18" ht="30" customHeight="1">
      <c r="A18" s="3" t="s">
        <v>55</v>
      </c>
    </row>
    <row r="19">
      <c r="A19" s="6" t="s">
        <v>56</v>
      </c>
      <c r="B19" s="5" t="s">
        <v>18</v>
      </c>
    </row>
    <row r="20">
      <c r="A20" s="3" t="s">
        <v>57</v>
      </c>
      <c r="B20" s="7" t="n">
        <v>977603</v>
      </c>
    </row>
    <row r="21">
      <c r="A21" s="3" t="s">
        <v>58</v>
      </c>
      <c r="B21" s="7" t="n">
        <v>950843</v>
      </c>
    </row>
    <row r="22">
      <c r="A22" s="3" t="s">
        <v>59</v>
      </c>
      <c r="B22" s="7" t="n">
        <v>1928446</v>
      </c>
    </row>
  </sheetData>
  <pageMargins left="0.7" right="0.7" top="0.75" bottom="0.75" header="0.3" footer="0.3"/>
  <pageSetup paperSize="9" orientation="portrait" horizontalDpi="300" verticalDpi="300" r:id="rId2"/>
  <tableParts count="2">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Coffee and coding demo</dc:creator>
  <cp:lastModifiedBy>Coffee and coding demo</cp:lastModifiedBy>
  <dcterms:created xsi:type="dcterms:W3CDTF">2026-10-15T14:47:08Z</dcterms:created>
  <dc:title>Mid-year population statistics for Northern Ireland 2025</dc:title>
  <dc:subject>Mid-year population statistics for Northern Ireland</dc:subject>
  <cp:category>Population</cp:category>
</coreProperties>
</file>